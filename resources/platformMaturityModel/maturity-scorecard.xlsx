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omain Scores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Radar Chart" sheetId="4" state="visible" r:id="rId4"/>
    <sheet xmlns:r="http://schemas.openxmlformats.org/officeDocument/2006/relationships" name="Gap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sz val="9"/>
    </font>
    <font>
      <name val="Arial"/>
      <b val="1"/>
      <color rgb="000000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i val="1"/>
      <sz val="9"/>
    </font>
    <font>
      <name val="Arial"/>
      <b val="1"/>
      <color rgb="00FFFFFF"/>
      <sz val="16"/>
    </font>
    <font>
      <name val="Arial"/>
      <b val="1"/>
      <color rgb="001F3864"/>
      <sz val="11"/>
    </font>
    <font>
      <name val="Arial"/>
      <b val="1"/>
      <color rgb="00FFFFFF"/>
      <sz val="12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sz val="11"/>
    </font>
    <font>
      <name val="Arial"/>
      <i val="1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E8F0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E2EFDA"/>
      </patternFill>
    </fill>
    <fill>
      <patternFill patternType="solid">
        <fgColor rgb="008B4513"/>
      </patternFill>
    </fill>
    <fill>
      <patternFill patternType="solid">
        <fgColor rgb="00E36C09"/>
      </patternFill>
    </fill>
    <fill>
      <patternFill patternType="solid">
        <fgColor rgb="00375623"/>
      </patternFill>
    </fill>
    <fill>
      <patternFill patternType="solid">
        <fgColor rgb="004472C4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 indent="1"/>
    </xf>
    <xf numFmtId="0" fontId="10" fillId="5" borderId="1" applyAlignment="1" pivotButton="0" quotePrefix="0" xfId="0">
      <alignment horizontal="center" vertical="center"/>
    </xf>
    <xf numFmtId="1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 indent="1"/>
    </xf>
    <xf numFmtId="0" fontId="14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2"/>
    </xf>
    <xf numFmtId="0" fontId="3" fillId="4" borderId="0" applyAlignment="1" pivotButton="0" quotePrefix="0" xfId="0">
      <alignment horizontal="left" vertical="center" indent="2"/>
    </xf>
    <xf numFmtId="0" fontId="4" fillId="3" borderId="1" applyAlignment="1" pivotButton="0" quotePrefix="0" xfId="0">
      <alignment horizontal="left" vertical="center" indent="1"/>
    </xf>
    <xf numFmtId="9" fontId="5" fillId="3" borderId="1" applyAlignment="1" pivotButton="0" quotePrefix="0" xfId="0">
      <alignment horizontal="center" vertical="center"/>
    </xf>
    <xf numFmtId="164" fontId="15" fillId="3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indent="1"/>
    </xf>
    <xf numFmtId="9" fontId="5" fillId="9" borderId="1" applyAlignment="1" pivotButton="0" quotePrefix="0" xfId="0">
      <alignment horizontal="center" vertical="center"/>
    </xf>
    <xf numFmtId="164" fontId="1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2"/>
    </xf>
    <xf numFmtId="0" fontId="0" fillId="2" borderId="1" pivotButton="0" quotePrefix="0" xfId="0"/>
    <xf numFmtId="2" fontId="6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2"/>
    </xf>
    <xf numFmtId="0" fontId="16" fillId="4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 indent="2"/>
    </xf>
    <xf numFmtId="0" fontId="7" fillId="8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left" vertical="center" indent="1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17" fillId="0" borderId="0" pivotButton="0" quotePrefix="0" xfId="0"/>
    <xf numFmtId="164" fontId="0" fillId="0" borderId="0" pivotButton="0" quotePrefix="0" xfId="0"/>
    <xf numFmtId="0" fontId="18" fillId="0" borderId="0" pivotButton="0" quotePrefix="0" xfId="0"/>
    <xf numFmtId="16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64" fontId="19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164" fontId="5" fillId="9" borderId="1" applyAlignment="1" pivotButton="0" quotePrefix="0" xfId="0">
      <alignment horizontal="center" vertical="center"/>
    </xf>
    <xf numFmtId="1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2"/>
    </xf>
    <xf numFmtId="0" fontId="20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Platform Maturity — Capability Radar</a:t>
            </a:r>
          </a:p>
        </rich>
      </tx>
    </title>
    <plotArea>
      <radarChart>
        <radarStyle val="filled"/>
        <ser>
          <idx val="0"/>
          <order val="0"/>
          <tx>
            <strRef>
              <f>'Radar Chart'!C1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 Chart'!$B$2:$B$9</f>
            </numRef>
          </cat>
          <val>
            <numRef>
              <f>'Radar Chart'!$C$2:$C$9</f>
            </numRef>
          </val>
        </ser>
        <ser>
          <idx val="1"/>
          <order val="1"/>
          <tx>
            <strRef>
              <f>'Radar Chart'!D1</f>
            </strRef>
          </tx>
          <spPr>
            <a:solidFill xmlns:a="http://schemas.openxmlformats.org/drawingml/2006/main">
              <a:srgbClr val="E36C0966"/>
            </a:solidFill>
            <a:ln xmlns:a="http://schemas.openxmlformats.org/drawingml/2006/main">
              <a:solidFill>
                <a:srgbClr val="E36C0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 Chart'!$B$2:$B$9</f>
            </numRef>
          </cat>
          <val>
            <numRef>
              <f>'Radar Chart'!$D$2:$D$9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70" customWidth="1" min="3" max="3"/>
  </cols>
  <sheetData>
    <row r="1" ht="40" customHeight="1">
      <c r="B1" s="1" t="inlineStr">
        <is>
          <t>Platform Engineering Maturity Scorecard</t>
        </is>
      </c>
    </row>
    <row r="2" ht="20" customHeight="1">
      <c r="B2" s="2" t="inlineStr">
        <is>
          <t>Version 1.0 — 2026 Edition  |  The Comprehensive Guide to Platform Engineering</t>
        </is>
      </c>
    </row>
    <row r="3" ht="22" customHeight="1"/>
    <row r="4" ht="22" customHeight="1">
      <c r="B4" s="3" t="inlineStr">
        <is>
          <t>HOW TO USE THIS SCORECARD</t>
        </is>
      </c>
    </row>
    <row r="5" ht="22" customHeight="1">
      <c r="B5" s="4" t="inlineStr">
        <is>
          <t>Step 1</t>
        </is>
      </c>
      <c r="C5" s="5" t="inlineStr">
        <is>
          <t>Complete the Assessment Questionnaire (assessment-questionnaire.md) honestly.</t>
        </is>
      </c>
    </row>
    <row r="6" ht="22" customHeight="1">
      <c r="B6" s="4" t="inlineStr">
        <is>
          <t>Step 2</t>
        </is>
      </c>
      <c r="C6" s="5" t="inlineStr">
        <is>
          <t>On the 'Domain Scores' sheet, enter your answer for each question using the drop-down (A through E or F).</t>
        </is>
      </c>
    </row>
    <row r="7" ht="22" customHeight="1">
      <c r="B7" s="4" t="inlineStr">
        <is>
          <t>Step 3</t>
        </is>
      </c>
      <c r="C7" s="5" t="inlineStr">
        <is>
          <t>The scorecard automatically calculates your domain scores, composite maturity level, and gap analysis.</t>
        </is>
      </c>
    </row>
    <row r="8" ht="22" customHeight="1">
      <c r="B8" s="4" t="inlineStr">
        <is>
          <t>Step 4</t>
        </is>
      </c>
      <c r="C8" s="5" t="inlineStr">
        <is>
          <t>Review the Radar Chart sheet to see your capability profile visually.</t>
        </is>
      </c>
    </row>
    <row r="9" ht="22" customHeight="1">
      <c r="B9" s="4" t="inlineStr">
        <is>
          <t>Step 5</t>
        </is>
      </c>
      <c r="C9" s="5" t="inlineStr">
        <is>
          <t>Use the Improvement Roadmap sheet to plan your next 90-day sprint.</t>
        </is>
      </c>
    </row>
    <row r="10" ht="22" customHeight="1"/>
    <row r="11" ht="22" customHeight="1">
      <c r="B11" s="3" t="inlineStr">
        <is>
          <t>SCORING SCALE</t>
        </is>
      </c>
    </row>
    <row r="12" ht="22" customHeight="1">
      <c r="B12" s="4" t="inlineStr">
        <is>
          <t>Answer A</t>
        </is>
      </c>
      <c r="C12" s="5" t="inlineStr">
        <is>
          <t>Level 0 — Fragmented Infrastructure</t>
        </is>
      </c>
    </row>
    <row r="13" ht="22" customHeight="1">
      <c r="B13" s="4" t="inlineStr">
        <is>
          <t>Answer B</t>
        </is>
      </c>
      <c r="C13" s="5" t="inlineStr">
        <is>
          <t>Level 1 — Standardised Tooling</t>
        </is>
      </c>
    </row>
    <row r="14" ht="22" customHeight="1">
      <c r="B14" s="4" t="inlineStr">
        <is>
          <t>Answer C</t>
        </is>
      </c>
      <c r="C14" s="5" t="inlineStr">
        <is>
          <t>Level 2 — CI/CD Automation</t>
        </is>
      </c>
    </row>
    <row r="15" ht="22" customHeight="1">
      <c r="B15" s="4" t="inlineStr">
        <is>
          <t>Answer D</t>
        </is>
      </c>
      <c r="C15" s="5" t="inlineStr">
        <is>
          <t>Level 3–4 — Platform Foundations / Self-Service</t>
        </is>
      </c>
    </row>
    <row r="16" ht="22" customHeight="1">
      <c r="B16" s="4" t="inlineStr">
        <is>
          <t>Answer E</t>
        </is>
      </c>
      <c r="C16" s="5" t="inlineStr">
        <is>
          <t>Level 5 — Platform as Product</t>
        </is>
      </c>
    </row>
    <row r="17" ht="22" customHeight="1">
      <c r="B17" s="4" t="inlineStr">
        <is>
          <t>Answer F</t>
        </is>
      </c>
      <c r="C17" s="5" t="inlineStr">
        <is>
          <t>Level 6 — Autonomous Platform (where applicable)</t>
        </is>
      </c>
    </row>
    <row r="18" ht="22" customHeight="1"/>
    <row r="19" ht="22" customHeight="1">
      <c r="B19" s="3" t="inlineStr">
        <is>
          <t>IMPORTANT NOTES</t>
        </is>
      </c>
    </row>
    <row r="20" ht="22" customHeight="1">
      <c r="B20" s="4" t="inlineStr">
        <is>
          <t>Honest answers</t>
        </is>
      </c>
      <c r="C20" s="5" t="inlineStr">
        <is>
          <t>Score what exists and works today, not what is in progress or planned.</t>
        </is>
      </c>
    </row>
    <row r="21" ht="22" customHeight="1">
      <c r="B21" s="4" t="inlineStr">
        <is>
          <t>Evidence rule</t>
        </is>
      </c>
      <c r="C21" s="5" t="inlineStr">
        <is>
          <t>For any score of Level 4+, you must be able to cite a concrete recent example.</t>
        </is>
      </c>
    </row>
    <row r="22" ht="22" customHeight="1">
      <c r="B22" s="4" t="inlineStr">
        <is>
          <t>Ceiling effects</t>
        </is>
      </c>
      <c r="C22" s="5" t="inlineStr">
        <is>
          <t>Gaps in any domain create ceiling effects on overall platform maturity.</t>
        </is>
      </c>
    </row>
    <row r="23" ht="22" customHeight="1">
      <c r="B23" s="4" t="inlineStr">
        <is>
          <t>Reassessment</t>
        </is>
      </c>
      <c r="C23" s="5" t="inlineStr">
        <is>
          <t>Reassess quarterly. Trajectory matters as much as absolute score.</t>
        </is>
      </c>
    </row>
  </sheetData>
  <mergeCells count="5">
    <mergeCell ref="B2:C2"/>
    <mergeCell ref="B11:C11"/>
    <mergeCell ref="B19:C19"/>
    <mergeCell ref="B1:C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57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35" customWidth="1" min="3" max="3"/>
    <col width="14" customWidth="1" min="4" max="4"/>
    <col width="10" customWidth="1" min="5" max="5"/>
    <col width="10" customWidth="1" min="6" max="6"/>
    <col width="12" customWidth="1" min="7" max="7"/>
    <col width="40" customWidth="1" min="8" max="8"/>
  </cols>
  <sheetData>
    <row r="1" ht="35" customHeight="1">
      <c r="B1" s="6" t="inlineStr">
        <is>
          <t>Platform Engineering Maturity Scorecard — Domain Assessment</t>
        </is>
      </c>
    </row>
    <row r="2" ht="20" customHeight="1">
      <c r="B2" s="7" t="inlineStr">
        <is>
          <t>Domain</t>
        </is>
      </c>
      <c r="C2" s="7" t="inlineStr">
        <is>
          <t>Question ID</t>
        </is>
      </c>
      <c r="D2" s="7" t="inlineStr">
        <is>
          <t>Question Summary</t>
        </is>
      </c>
      <c r="E2" s="7" t="inlineStr">
        <is>
          <t>Your Answer
(A–F)</t>
        </is>
      </c>
      <c r="F2" s="7" t="inlineStr">
        <is>
          <t>Level Score
(0–6)</t>
        </is>
      </c>
      <c r="G2" s="7" t="inlineStr">
        <is>
          <t>Target
Level</t>
        </is>
      </c>
      <c r="H2" s="7" t="inlineStr">
        <is>
          <t>Gap</t>
        </is>
      </c>
      <c r="I2" s="7" t="inlineStr">
        <is>
          <t>Notes</t>
        </is>
      </c>
    </row>
    <row r="3" ht="22" customHeight="1">
      <c r="B3" s="8" t="inlineStr">
        <is>
          <t>D1
Infrastructure &amp; Provisioning</t>
        </is>
      </c>
      <c r="C3" s="9" t="inlineStr">
        <is>
          <t>D1-Q1</t>
        </is>
      </c>
      <c r="D3" s="10" t="inlineStr">
        <is>
          <t>How is infrastructure provisioned?</t>
        </is>
      </c>
      <c r="E3" s="11" t="inlineStr"/>
      <c r="F3" s="12">
        <f>IF(E3="A",0,IF(E3="B",1,IF(E3="C",2,IF(E3="D",3,IF(E3="E",5,IF(E3="F",6,""))))))</f>
        <v/>
      </c>
      <c r="G3" s="13" t="n">
        <v>4</v>
      </c>
      <c r="H3" s="14">
        <f>IF(F3="","",G3-F3)</f>
        <v/>
      </c>
      <c r="I3" s="15" t="inlineStr"/>
    </row>
    <row r="4" ht="22" customHeight="1">
      <c r="C4" s="9" t="inlineStr">
        <is>
          <t>D1-Q2</t>
        </is>
      </c>
      <c r="D4" s="10" t="inlineStr">
        <is>
          <t>How are cloud environments managed?</t>
        </is>
      </c>
      <c r="E4" s="11" t="inlineStr"/>
      <c r="F4" s="12">
        <f>IF(E4="A",0,IF(E4="B",1,IF(E4="C",2,IF(E4="D",3,IF(E4="E",5,IF(E4="F",6,""))))))</f>
        <v/>
      </c>
      <c r="G4" s="13" t="n">
        <v>4</v>
      </c>
      <c r="H4" s="14">
        <f>IF(F4="","",G4-F4)</f>
        <v/>
      </c>
      <c r="I4" s="15" t="inlineStr"/>
    </row>
    <row r="5" ht="22" customHeight="1">
      <c r="C5" s="9" t="inlineStr">
        <is>
          <t>D1-Q3</t>
        </is>
      </c>
      <c r="D5" s="10" t="inlineStr">
        <is>
          <t>How is infrastructure drift managed?</t>
        </is>
      </c>
      <c r="E5" s="11" t="inlineStr"/>
      <c r="F5" s="12">
        <f>IF(E5="A",0,IF(E5="B",1,IF(E5="C",2,IF(E5="D",3,IF(E5="E",5,IF(E5="F",6,""))))))</f>
        <v/>
      </c>
      <c r="G5" s="13" t="n">
        <v>4</v>
      </c>
      <c r="H5" s="14">
        <f>IF(F5="","",G5-F5)</f>
        <v/>
      </c>
      <c r="I5" s="15" t="inlineStr"/>
    </row>
    <row r="6" ht="22" customHeight="1">
      <c r="C6" s="9" t="inlineStr">
        <is>
          <t>D1-Q4</t>
        </is>
      </c>
      <c r="D6" s="10" t="inlineStr">
        <is>
          <t>How are new cloud accounts managed?</t>
        </is>
      </c>
      <c r="E6" s="11" t="inlineStr"/>
      <c r="F6" s="12">
        <f>IF(E6="A",0,IF(E6="B",1,IF(E6="C",2,IF(E6="D",3,IF(E6="E",5,IF(E6="F",6,""))))))</f>
        <v/>
      </c>
      <c r="G6" s="13" t="n">
        <v>4</v>
      </c>
      <c r="H6" s="14">
        <f>IF(F6="","",G6-F6)</f>
        <v/>
      </c>
      <c r="I6" s="15" t="inlineStr"/>
    </row>
    <row r="7" ht="22" customHeight="1">
      <c r="C7" s="9" t="inlineStr">
        <is>
          <t>D1-Q5</t>
        </is>
      </c>
      <c r="D7" s="10" t="inlineStr">
        <is>
          <t>What is your IaC module strategy?</t>
        </is>
      </c>
      <c r="E7" s="11" t="inlineStr"/>
      <c r="F7" s="12">
        <f>IF(E7="A",0,IF(E7="B",1,IF(E7="C",2,IF(E7="D",3,IF(E7="E",5,IF(E7="F",6,""))))))</f>
        <v/>
      </c>
      <c r="G7" s="13" t="n">
        <v>4</v>
      </c>
      <c r="H7" s="14">
        <f>IF(F7="","",G7-F7)</f>
        <v/>
      </c>
      <c r="I7" s="15" t="inlineStr"/>
    </row>
    <row r="8" ht="24" customHeight="1">
      <c r="B8" s="16" t="inlineStr">
        <is>
          <t>D1 — Infrastructure &amp; Provisioning — Domain Average</t>
        </is>
      </c>
      <c r="E8" s="17" t="inlineStr"/>
      <c r="F8" s="18">
        <f>IFERROR(AVERAGE(F3:F7),"")</f>
        <v/>
      </c>
      <c r="G8" s="17" t="inlineStr"/>
      <c r="H8" s="17" t="inlineStr"/>
      <c r="I8" s="17" t="inlineStr"/>
    </row>
    <row r="10" ht="22" customHeight="1">
      <c r="B10" s="19" t="inlineStr">
        <is>
          <t>D2
Delivery &amp; Deployment</t>
        </is>
      </c>
      <c r="C10" s="20" t="inlineStr">
        <is>
          <t>D2-Q1</t>
        </is>
      </c>
      <c r="D10" s="21" t="inlineStr">
        <is>
          <t>How do teams build and deploy services?</t>
        </is>
      </c>
      <c r="E10" s="11" t="inlineStr"/>
      <c r="F10" s="12">
        <f>IF(E10="A",0,IF(E10="B",1,IF(E10="C",2,IF(E10="D",3,IF(E10="E",5,IF(E10="F",6,""))))))</f>
        <v/>
      </c>
      <c r="G10" s="13" t="n">
        <v>4</v>
      </c>
      <c r="H10" s="14">
        <f>IF(F10="","",G10-F10)</f>
        <v/>
      </c>
      <c r="I10" s="15" t="inlineStr"/>
    </row>
    <row r="11" ht="22" customHeight="1">
      <c r="C11" s="20" t="inlineStr">
        <is>
          <t>D2-Q2</t>
        </is>
      </c>
      <c r="D11" s="21" t="inlineStr">
        <is>
          <t>What is your typical deployment frequency?</t>
        </is>
      </c>
      <c r="E11" s="11" t="inlineStr"/>
      <c r="F11" s="12">
        <f>IF(E11="A",0,IF(E11="B",1,IF(E11="C",2,IF(E11="D",3,IF(E11="E",5,IF(E11="F",6,""))))))</f>
        <v/>
      </c>
      <c r="G11" s="13" t="n">
        <v>4</v>
      </c>
      <c r="H11" s="14">
        <f>IF(F11="","",G11-F11)</f>
        <v/>
      </c>
      <c r="I11" s="15" t="inlineStr"/>
    </row>
    <row r="12" ht="22" customHeight="1">
      <c r="C12" s="20" t="inlineStr">
        <is>
          <t>D2-Q3</t>
        </is>
      </c>
      <c r="D12" s="21" t="inlineStr">
        <is>
          <t>How are production changes governed?</t>
        </is>
      </c>
      <c r="E12" s="11" t="inlineStr"/>
      <c r="F12" s="12">
        <f>IF(E12="A",0,IF(E12="B",1,IF(E12="C",2,IF(E12="D",3,IF(E12="E",5,IF(E12="F",6,""))))))</f>
        <v/>
      </c>
      <c r="G12" s="13" t="n">
        <v>4</v>
      </c>
      <c r="H12" s="14">
        <f>IF(F12="","",G12-F12)</f>
        <v/>
      </c>
      <c r="I12" s="15" t="inlineStr"/>
    </row>
    <row r="13" ht="22" customHeight="1">
      <c r="C13" s="20" t="inlineStr">
        <is>
          <t>D2-Q4</t>
        </is>
      </c>
      <c r="D13" s="21" t="inlineStr">
        <is>
          <t>What progressive delivery capabilities exist?</t>
        </is>
      </c>
      <c r="E13" s="11" t="inlineStr"/>
      <c r="F13" s="12">
        <f>IF(E13="A",0,IF(E13="B",1,IF(E13="C",2,IF(E13="D",3,IF(E13="E",5,IF(E13="F",6,""))))))</f>
        <v/>
      </c>
      <c r="G13" s="13" t="n">
        <v>4</v>
      </c>
      <c r="H13" s="14">
        <f>IF(F13="","",G13-F13)</f>
        <v/>
      </c>
      <c r="I13" s="15" t="inlineStr"/>
    </row>
    <row r="14" ht="22" customHeight="1">
      <c r="C14" s="20" t="inlineStr">
        <is>
          <t>D2-Q5</t>
        </is>
      </c>
      <c r="D14" s="21" t="inlineStr">
        <is>
          <t>How is delivery performance tracked?</t>
        </is>
      </c>
      <c r="E14" s="11" t="inlineStr"/>
      <c r="F14" s="12">
        <f>IF(E14="A",0,IF(E14="B",1,IF(E14="C",2,IF(E14="D",3,IF(E14="E",5,IF(E14="F",6,""))))))</f>
        <v/>
      </c>
      <c r="G14" s="13" t="n">
        <v>4</v>
      </c>
      <c r="H14" s="14">
        <f>IF(F14="","",G14-F14)</f>
        <v/>
      </c>
      <c r="I14" s="15" t="inlineStr"/>
    </row>
    <row r="15" ht="24" customHeight="1">
      <c r="B15" s="16" t="inlineStr">
        <is>
          <t>D2 — Delivery &amp; Deployment — Domain Average</t>
        </is>
      </c>
      <c r="E15" s="17" t="inlineStr"/>
      <c r="F15" s="18">
        <f>IFERROR(AVERAGE(F10:F14),"")</f>
        <v/>
      </c>
      <c r="G15" s="17" t="inlineStr"/>
      <c r="H15" s="17" t="inlineStr"/>
      <c r="I15" s="17" t="inlineStr"/>
    </row>
    <row r="17" ht="22" customHeight="1">
      <c r="B17" s="8" t="inlineStr">
        <is>
          <t>D3
Developer Experience</t>
        </is>
      </c>
      <c r="C17" s="9" t="inlineStr">
        <is>
          <t>D3-Q1</t>
        </is>
      </c>
      <c r="D17" s="10" t="inlineStr">
        <is>
          <t>How do developers discover platform capabilities?</t>
        </is>
      </c>
      <c r="E17" s="11" t="inlineStr"/>
      <c r="F17" s="12">
        <f>IF(E17="A",0,IF(E17="B",1,IF(E17="C",2,IF(E17="D",3,IF(E17="E",5,IF(E17="F",6,""))))))</f>
        <v/>
      </c>
      <c r="G17" s="13" t="n">
        <v>4</v>
      </c>
      <c r="H17" s="14">
        <f>IF(F17="","",G17-F17)</f>
        <v/>
      </c>
      <c r="I17" s="15" t="inlineStr"/>
    </row>
    <row r="18" ht="22" customHeight="1">
      <c r="C18" s="9" t="inlineStr">
        <is>
          <t>D3-Q2</t>
        </is>
      </c>
      <c r="D18" s="10" t="inlineStr">
        <is>
          <t>Time to first production commit for new engineers?</t>
        </is>
      </c>
      <c r="E18" s="11" t="inlineStr"/>
      <c r="F18" s="12">
        <f>IF(E18="A",0,IF(E18="B",1,IF(E18="C",2,IF(E18="D",3,IF(E18="E",5,IF(E18="F",6,""))))))</f>
        <v/>
      </c>
      <c r="G18" s="13" t="n">
        <v>4</v>
      </c>
      <c r="H18" s="14">
        <f>IF(F18="","",G18-F18)</f>
        <v/>
      </c>
      <c r="I18" s="15" t="inlineStr"/>
    </row>
    <row r="19" ht="22" customHeight="1">
      <c r="C19" s="9" t="inlineStr">
        <is>
          <t>D3-Q3</t>
        </is>
      </c>
      <c r="D19" s="10" t="inlineStr">
        <is>
          <t>How are new services created?</t>
        </is>
      </c>
      <c r="E19" s="11" t="inlineStr"/>
      <c r="F19" s="12">
        <f>IF(E19="A",0,IF(E19="B",1,IF(E19="C",2,IF(E19="D",3,IF(E19="E",5,IF(E19="F",6,""))))))</f>
        <v/>
      </c>
      <c r="G19" s="13" t="n">
        <v>4</v>
      </c>
      <c r="H19" s="14">
        <f>IF(F19="","",G19-F19)</f>
        <v/>
      </c>
      <c r="I19" s="15" t="inlineStr"/>
    </row>
    <row r="20" ht="22" customHeight="1">
      <c r="C20" s="9" t="inlineStr">
        <is>
          <t>D3-Q4</t>
        </is>
      </c>
      <c r="D20" s="10" t="inlineStr">
        <is>
          <t>How do developers work locally?</t>
        </is>
      </c>
      <c r="E20" s="11" t="inlineStr"/>
      <c r="F20" s="12">
        <f>IF(E20="A",0,IF(E20="B",1,IF(E20="C",2,IF(E20="D",3,IF(E20="E",5,IF(E20="F",6,""))))))</f>
        <v/>
      </c>
      <c r="G20" s="13" t="n">
        <v>4</v>
      </c>
      <c r="H20" s="14">
        <f>IF(F20="","",G20-F20)</f>
        <v/>
      </c>
      <c r="I20" s="15" t="inlineStr"/>
    </row>
    <row r="21" ht="22" customHeight="1">
      <c r="C21" s="9" t="inlineStr">
        <is>
          <t>D3-Q5</t>
        </is>
      </c>
      <c r="D21" s="10" t="inlineStr">
        <is>
          <t>How is developer satisfaction measured?</t>
        </is>
      </c>
      <c r="E21" s="11" t="inlineStr"/>
      <c r="F21" s="12">
        <f>IF(E21="A",0,IF(E21="B",1,IF(E21="C",2,IF(E21="D",3,IF(E21="E",5,IF(E21="F",6,""))))))</f>
        <v/>
      </c>
      <c r="G21" s="13" t="n">
        <v>4</v>
      </c>
      <c r="H21" s="14">
        <f>IF(F21="","",G21-F21)</f>
        <v/>
      </c>
      <c r="I21" s="15" t="inlineStr"/>
    </row>
    <row r="22" ht="24" customHeight="1">
      <c r="B22" s="16" t="inlineStr">
        <is>
          <t>D3 — Developer Experience — Domain Average</t>
        </is>
      </c>
      <c r="E22" s="17" t="inlineStr"/>
      <c r="F22" s="18">
        <f>IFERROR(AVERAGE(F17:F21),"")</f>
        <v/>
      </c>
      <c r="G22" s="17" t="inlineStr"/>
      <c r="H22" s="17" t="inlineStr"/>
      <c r="I22" s="17" t="inlineStr"/>
    </row>
    <row r="24" ht="22" customHeight="1">
      <c r="B24" s="19" t="inlineStr">
        <is>
          <t>D4
Observability</t>
        </is>
      </c>
      <c r="C24" s="20" t="inlineStr">
        <is>
          <t>D4-Q1</t>
        </is>
      </c>
      <c r="D24" s="21" t="inlineStr">
        <is>
          <t>What telemetry does the platform provide?</t>
        </is>
      </c>
      <c r="E24" s="11" t="inlineStr"/>
      <c r="F24" s="12">
        <f>IF(E24="A",0,IF(E24="B",1,IF(E24="C",2,IF(E24="D",3,IF(E24="E",5,IF(E24="F",6,""))))))</f>
        <v/>
      </c>
      <c r="G24" s="13" t="n">
        <v>4</v>
      </c>
      <c r="H24" s="14">
        <f>IF(F24="","",G24-F24)</f>
        <v/>
      </c>
      <c r="I24" s="15" t="inlineStr"/>
    </row>
    <row r="25" ht="22" customHeight="1">
      <c r="C25" s="20" t="inlineStr">
        <is>
          <t>D4-Q2</t>
        </is>
      </c>
      <c r="D25" s="21" t="inlineStr">
        <is>
          <t>How are SLOs managed across services?</t>
        </is>
      </c>
      <c r="E25" s="11" t="inlineStr"/>
      <c r="F25" s="12">
        <f>IF(E25="A",0,IF(E25="B",1,IF(E25="C",2,IF(E25="D",3,IF(E25="E",5,IF(E25="F",6,""))))))</f>
        <v/>
      </c>
      <c r="G25" s="13" t="n">
        <v>4</v>
      </c>
      <c r="H25" s="14">
        <f>IF(F25="","",G25-F25)</f>
        <v/>
      </c>
      <c r="I25" s="15" t="inlineStr"/>
    </row>
    <row r="26" ht="22" customHeight="1">
      <c r="C26" s="20" t="inlineStr">
        <is>
          <t>D4-Q3</t>
        </is>
      </c>
      <c r="D26" s="21" t="inlineStr">
        <is>
          <t>What is your average MTTR?</t>
        </is>
      </c>
      <c r="E26" s="11" t="inlineStr"/>
      <c r="F26" s="12">
        <f>IF(E26="A",0,IF(E26="B",1,IF(E26="C",2,IF(E26="D",3,IF(E26="E",5,IF(E26="F",6,""))))))</f>
        <v/>
      </c>
      <c r="G26" s="13" t="n">
        <v>4</v>
      </c>
      <c r="H26" s="14">
        <f>IF(F26="","",G26-F26)</f>
        <v/>
      </c>
      <c r="I26" s="15" t="inlineStr"/>
    </row>
    <row r="27" ht="22" customHeight="1">
      <c r="C27" s="20" t="inlineStr">
        <is>
          <t>D4-Q4</t>
        </is>
      </c>
      <c r="D27" s="21" t="inlineStr">
        <is>
          <t>How is alerting managed?</t>
        </is>
      </c>
      <c r="E27" s="11" t="inlineStr"/>
      <c r="F27" s="12">
        <f>IF(E27="A",0,IF(E27="B",1,IF(E27="C",2,IF(E27="D",3,IF(E27="E",5,IF(E27="F",6,""))))))</f>
        <v/>
      </c>
      <c r="G27" s="13" t="n">
        <v>4</v>
      </c>
      <c r="H27" s="14">
        <f>IF(F27="","",G27-F27)</f>
        <v/>
      </c>
      <c r="I27" s="15" t="inlineStr"/>
    </row>
    <row r="28" ht="22" customHeight="1">
      <c r="C28" s="20" t="inlineStr">
        <is>
          <t>D4-Q5</t>
        </is>
      </c>
      <c r="D28" s="21" t="inlineStr">
        <is>
          <t>How is observability infrastructure managed?</t>
        </is>
      </c>
      <c r="E28" s="11" t="inlineStr"/>
      <c r="F28" s="12">
        <f>IF(E28="A",0,IF(E28="B",1,IF(E28="C",2,IF(E28="D",3,IF(E28="E",5,IF(E28="F",6,""))))))</f>
        <v/>
      </c>
      <c r="G28" s="13" t="n">
        <v>4</v>
      </c>
      <c r="H28" s="14">
        <f>IF(F28="","",G28-F28)</f>
        <v/>
      </c>
      <c r="I28" s="15" t="inlineStr"/>
    </row>
    <row r="29" ht="24" customHeight="1">
      <c r="B29" s="16" t="inlineStr">
        <is>
          <t>D4 — Observability — Domain Average</t>
        </is>
      </c>
      <c r="E29" s="17" t="inlineStr"/>
      <c r="F29" s="18">
        <f>IFERROR(AVERAGE(F24:F28),"")</f>
        <v/>
      </c>
      <c r="G29" s="17" t="inlineStr"/>
      <c r="H29" s="17" t="inlineStr"/>
      <c r="I29" s="17" t="inlineStr"/>
    </row>
    <row r="31" ht="22" customHeight="1">
      <c r="B31" s="8" t="inlineStr">
        <is>
          <t>D5
Security &amp; Compliance</t>
        </is>
      </c>
      <c r="C31" s="9" t="inlineStr">
        <is>
          <t>D5-Q1</t>
        </is>
      </c>
      <c r="D31" s="10" t="inlineStr">
        <is>
          <t>How are secrets managed?</t>
        </is>
      </c>
      <c r="E31" s="11" t="inlineStr"/>
      <c r="F31" s="12">
        <f>IF(E31="A",0,IF(E31="B",1,IF(E31="C",2,IF(E31="D",3,IF(E31="E",5,IF(E31="F",6,""))))))</f>
        <v/>
      </c>
      <c r="G31" s="13" t="n">
        <v>4</v>
      </c>
      <c r="H31" s="14">
        <f>IF(F31="","",G31-F31)</f>
        <v/>
      </c>
      <c r="I31" s="15" t="inlineStr"/>
    </row>
    <row r="32" ht="22" customHeight="1">
      <c r="C32" s="9" t="inlineStr">
        <is>
          <t>D5-Q2</t>
        </is>
      </c>
      <c r="D32" s="10" t="inlineStr">
        <is>
          <t>How is policy enforced?</t>
        </is>
      </c>
      <c r="E32" s="11" t="inlineStr"/>
      <c r="F32" s="12">
        <f>IF(E32="A",0,IF(E32="B",1,IF(E32="C",2,IF(E32="D",3,IF(E32="E",5,IF(E32="F",6,""))))))</f>
        <v/>
      </c>
      <c r="G32" s="13" t="n">
        <v>4</v>
      </c>
      <c r="H32" s="14">
        <f>IF(F32="","",G32-F32)</f>
        <v/>
      </c>
      <c r="I32" s="15" t="inlineStr"/>
    </row>
    <row r="33" ht="22" customHeight="1">
      <c r="C33" s="9" t="inlineStr">
        <is>
          <t>D5-Q3</t>
        </is>
      </c>
      <c r="D33" s="10" t="inlineStr">
        <is>
          <t>What is your supply chain security posture?</t>
        </is>
      </c>
      <c r="E33" s="11" t="inlineStr"/>
      <c r="F33" s="12">
        <f>IF(E33="A",0,IF(E33="B",1,IF(E33="C",2,IF(E33="D",3,IF(E33="E",5,IF(E33="F",6,""))))))</f>
        <v/>
      </c>
      <c r="G33" s="13" t="n">
        <v>4</v>
      </c>
      <c r="H33" s="14">
        <f>IF(F33="","",G33-F33)</f>
        <v/>
      </c>
      <c r="I33" s="15" t="inlineStr"/>
    </row>
    <row r="34" ht="22" customHeight="1">
      <c r="C34" s="9" t="inlineStr">
        <is>
          <t>D5-Q4</t>
        </is>
      </c>
      <c r="D34" s="10" t="inlineStr">
        <is>
          <t>How is production access managed?</t>
        </is>
      </c>
      <c r="E34" s="11" t="inlineStr"/>
      <c r="F34" s="12">
        <f>IF(E34="A",0,IF(E34="B",1,IF(E34="C",2,IF(E34="D",3,IF(E34="E",5,IF(E34="F",6,""))))))</f>
        <v/>
      </c>
      <c r="G34" s="13" t="n">
        <v>4</v>
      </c>
      <c r="H34" s="14">
        <f>IF(F34="","",G34-F34)</f>
        <v/>
      </c>
      <c r="I34" s="15" t="inlineStr"/>
    </row>
    <row r="35" ht="22" customHeight="1">
      <c r="C35" s="9" t="inlineStr">
        <is>
          <t>D5-Q5</t>
        </is>
      </c>
      <c r="D35" s="10" t="inlineStr">
        <is>
          <t>How is compliance managed?</t>
        </is>
      </c>
      <c r="E35" s="11" t="inlineStr"/>
      <c r="F35" s="12">
        <f>IF(E35="A",0,IF(E35="B",1,IF(E35="C",2,IF(E35="D",3,IF(E35="E",5,IF(E35="F",6,""))))))</f>
        <v/>
      </c>
      <c r="G35" s="13" t="n">
        <v>4</v>
      </c>
      <c r="H35" s="14">
        <f>IF(F35="","",G35-F35)</f>
        <v/>
      </c>
      <c r="I35" s="15" t="inlineStr"/>
    </row>
    <row r="36" ht="24" customHeight="1">
      <c r="B36" s="16" t="inlineStr">
        <is>
          <t>D5 — Security &amp; Compliance — Domain Average</t>
        </is>
      </c>
      <c r="E36" s="17" t="inlineStr"/>
      <c r="F36" s="18">
        <f>IFERROR(AVERAGE(F31:F35),"")</f>
        <v/>
      </c>
      <c r="G36" s="17" t="inlineStr"/>
      <c r="H36" s="17" t="inlineStr"/>
      <c r="I36" s="17" t="inlineStr"/>
    </row>
    <row r="38" ht="22" customHeight="1">
      <c r="B38" s="19" t="inlineStr">
        <is>
          <t>D6
FinOps &amp; Cost Management</t>
        </is>
      </c>
      <c r="C38" s="20" t="inlineStr">
        <is>
          <t>D6-Q1</t>
        </is>
      </c>
      <c r="D38" s="21" t="inlineStr">
        <is>
          <t>What cloud cost visibility exists?</t>
        </is>
      </c>
      <c r="E38" s="11" t="inlineStr"/>
      <c r="F38" s="12">
        <f>IF(E38="A",0,IF(E38="B",1,IF(E38="C",2,IF(E38="D",3,IF(E38="E",5,IF(E38="F",6,""))))))</f>
        <v/>
      </c>
      <c r="G38" s="13" t="n">
        <v>4</v>
      </c>
      <c r="H38" s="14">
        <f>IF(F38="","",G38-F38)</f>
        <v/>
      </c>
      <c r="I38" s="15" t="inlineStr"/>
    </row>
    <row r="39" ht="22" customHeight="1">
      <c r="C39" s="20" t="inlineStr">
        <is>
          <t>D6-Q2</t>
        </is>
      </c>
      <c r="D39" s="21" t="inlineStr">
        <is>
          <t>How are costs allocated to teams?</t>
        </is>
      </c>
      <c r="E39" s="11" t="inlineStr"/>
      <c r="F39" s="12">
        <f>IF(E39="A",0,IF(E39="B",1,IF(E39="C",2,IF(E39="D",3,IF(E39="E",5,IF(E39="F",6,""))))))</f>
        <v/>
      </c>
      <c r="G39" s="13" t="n">
        <v>4</v>
      </c>
      <c r="H39" s="14">
        <f>IF(F39="","",G39-F39)</f>
        <v/>
      </c>
      <c r="I39" s="15" t="inlineStr"/>
    </row>
    <row r="40" ht="22" customHeight="1">
      <c r="C40" s="20" t="inlineStr">
        <is>
          <t>D6-Q3</t>
        </is>
      </c>
      <c r="D40" s="21" t="inlineStr">
        <is>
          <t>How is rightsizing managed?</t>
        </is>
      </c>
      <c r="E40" s="11" t="inlineStr"/>
      <c r="F40" s="12">
        <f>IF(E40="A",0,IF(E40="B",1,IF(E40="C",2,IF(E40="D",3,IF(E40="E",5,IF(E40="F",6,""))))))</f>
        <v/>
      </c>
      <c r="G40" s="13" t="n">
        <v>4</v>
      </c>
      <c r="H40" s="14">
        <f>IF(F40="","",G40-F40)</f>
        <v/>
      </c>
      <c r="I40" s="15" t="inlineStr"/>
    </row>
    <row r="41" ht="22" customHeight="1">
      <c r="C41" s="20" t="inlineStr">
        <is>
          <t>D6-Q4</t>
        </is>
      </c>
      <c r="D41" s="21" t="inlineStr">
        <is>
          <t>Is there a FinOps function?</t>
        </is>
      </c>
      <c r="E41" s="11" t="inlineStr"/>
      <c r="F41" s="12">
        <f>IF(E41="A",0,IF(E41="B",1,IF(E41="C",2,IF(E41="D",3,IF(E41="E",5,IF(E41="F",6,""))))))</f>
        <v/>
      </c>
      <c r="G41" s="13" t="n">
        <v>4</v>
      </c>
      <c r="H41" s="14">
        <f>IF(F41="","",G41-F41)</f>
        <v/>
      </c>
      <c r="I41" s="15" t="inlineStr"/>
    </row>
    <row r="42" ht="22" customHeight="1">
      <c r="C42" s="20" t="inlineStr">
        <is>
          <t>D6-Q5</t>
        </is>
      </c>
      <c r="D42" s="21" t="inlineStr">
        <is>
          <t>How is cloud waste managed?</t>
        </is>
      </c>
      <c r="E42" s="11" t="inlineStr"/>
      <c r="F42" s="12">
        <f>IF(E42="A",0,IF(E42="B",1,IF(E42="C",2,IF(E42="D",3,IF(E42="E",5,IF(E42="F",6,""))))))</f>
        <v/>
      </c>
      <c r="G42" s="13" t="n">
        <v>4</v>
      </c>
      <c r="H42" s="14">
        <f>IF(F42="","",G42-F42)</f>
        <v/>
      </c>
      <c r="I42" s="15" t="inlineStr"/>
    </row>
    <row r="43" ht="24" customHeight="1">
      <c r="B43" s="16" t="inlineStr">
        <is>
          <t>D6 — FinOps &amp; Cost Management — Domain Average</t>
        </is>
      </c>
      <c r="E43" s="17" t="inlineStr"/>
      <c r="F43" s="18">
        <f>IFERROR(AVERAGE(F38:F42),"")</f>
        <v/>
      </c>
      <c r="G43" s="17" t="inlineStr"/>
      <c r="H43" s="17" t="inlineStr"/>
      <c r="I43" s="17" t="inlineStr"/>
    </row>
    <row r="45" ht="22" customHeight="1">
      <c r="B45" s="8" t="inlineStr">
        <is>
          <t>D7
Organisational Model</t>
        </is>
      </c>
      <c r="C45" s="9" t="inlineStr">
        <is>
          <t>D7-Q1</t>
        </is>
      </c>
      <c r="D45" s="10" t="inlineStr">
        <is>
          <t>How is the platform team structured?</t>
        </is>
      </c>
      <c r="E45" s="11" t="inlineStr"/>
      <c r="F45" s="12">
        <f>IF(E45="A",0,IF(E45="B",1,IF(E45="C",2,IF(E45="D",3,IF(E45="E",5,IF(E45="F",6,""))))))</f>
        <v/>
      </c>
      <c r="G45" s="13" t="n">
        <v>4</v>
      </c>
      <c r="H45" s="14">
        <f>IF(F45="","",G45-F45)</f>
        <v/>
      </c>
      <c r="I45" s="15" t="inlineStr"/>
    </row>
    <row r="46" ht="22" customHeight="1">
      <c r="C46" s="9" t="inlineStr">
        <is>
          <t>D7-Q2</t>
        </is>
      </c>
      <c r="D46" s="10" t="inlineStr">
        <is>
          <t>How is the platform roadmap managed?</t>
        </is>
      </c>
      <c r="E46" s="11" t="inlineStr"/>
      <c r="F46" s="12">
        <f>IF(E46="A",0,IF(E46="B",1,IF(E46="C",2,IF(E46="D",3,IF(E46="E",5,IF(E46="F",6,""))))))</f>
        <v/>
      </c>
      <c r="G46" s="13" t="n">
        <v>4</v>
      </c>
      <c r="H46" s="14">
        <f>IF(F46="","",G46-F46)</f>
        <v/>
      </c>
      <c r="I46" s="15" t="inlineStr"/>
    </row>
    <row r="47" ht="22" customHeight="1">
      <c r="C47" s="9" t="inlineStr">
        <is>
          <t>D7-Q3</t>
        </is>
      </c>
      <c r="D47" s="10" t="inlineStr">
        <is>
          <t>How does the platform team relate to consumers?</t>
        </is>
      </c>
      <c r="E47" s="11" t="inlineStr"/>
      <c r="F47" s="12">
        <f>IF(E47="A",0,IF(E47="B",1,IF(E47="C",2,IF(E47="D",3,IF(E47="E",5,IF(E47="F",6,""))))))</f>
        <v/>
      </c>
      <c r="G47" s="13" t="n">
        <v>4</v>
      </c>
      <c r="H47" s="14">
        <f>IF(F47="","",G47-F47)</f>
        <v/>
      </c>
      <c r="I47" s="15" t="inlineStr"/>
    </row>
    <row r="48" ht="22" customHeight="1">
      <c r="C48" s="9" t="inlineStr">
        <is>
          <t>D7-Q4</t>
        </is>
      </c>
      <c r="D48" s="10" t="inlineStr">
        <is>
          <t>What is the leadership relationship?</t>
        </is>
      </c>
      <c r="E48" s="11" t="inlineStr"/>
      <c r="F48" s="12">
        <f>IF(E48="A",0,IF(E48="B",1,IF(E48="C",2,IF(E48="D",3,IF(E48="E",5,IF(E48="F",6,""))))))</f>
        <v/>
      </c>
      <c r="G48" s="13" t="n">
        <v>4</v>
      </c>
      <c r="H48" s="14">
        <f>IF(F48="","",G48-F48)</f>
        <v/>
      </c>
      <c r="I48" s="15" t="inlineStr"/>
    </row>
    <row r="49" ht="22" customHeight="1">
      <c r="C49" s="9" t="inlineStr">
        <is>
          <t>D7-Q5</t>
        </is>
      </c>
      <c r="D49" s="10" t="inlineStr">
        <is>
          <t>How is developer feedback captured?</t>
        </is>
      </c>
      <c r="E49" s="11" t="inlineStr"/>
      <c r="F49" s="12">
        <f>IF(E49="A",0,IF(E49="B",1,IF(E49="C",2,IF(E49="D",3,IF(E49="E",5,IF(E49="F",6,""))))))</f>
        <v/>
      </c>
      <c r="G49" s="13" t="n">
        <v>4</v>
      </c>
      <c r="H49" s="14">
        <f>IF(F49="","",G49-F49)</f>
        <v/>
      </c>
      <c r="I49" s="15" t="inlineStr"/>
    </row>
    <row r="50" ht="24" customHeight="1">
      <c r="B50" s="16" t="inlineStr">
        <is>
          <t>D7 — Organisational Model — Domain Average</t>
        </is>
      </c>
      <c r="E50" s="17" t="inlineStr"/>
      <c r="F50" s="18">
        <f>IFERROR(AVERAGE(F45:F49),"")</f>
        <v/>
      </c>
      <c r="G50" s="17" t="inlineStr"/>
      <c r="H50" s="17" t="inlineStr"/>
      <c r="I50" s="17" t="inlineStr"/>
    </row>
    <row r="52" ht="22" customHeight="1">
      <c r="B52" s="19" t="inlineStr">
        <is>
          <t>D8
AI &amp; Automation</t>
        </is>
      </c>
      <c r="C52" s="20" t="inlineStr">
        <is>
          <t>D8-Q1</t>
        </is>
      </c>
      <c r="D52" s="21" t="inlineStr">
        <is>
          <t>How are AI coding assistants managed?</t>
        </is>
      </c>
      <c r="E52" s="11" t="inlineStr"/>
      <c r="F52" s="12">
        <f>IF(E52="A",0,IF(E52="B",1,IF(E52="C",2,IF(E52="D",3,IF(E52="E",5,IF(E52="F",6,""))))))</f>
        <v/>
      </c>
      <c r="G52" s="13" t="n">
        <v>4</v>
      </c>
      <c r="H52" s="14">
        <f>IF(F52="","",G52-F52)</f>
        <v/>
      </c>
      <c r="I52" s="15" t="inlineStr"/>
    </row>
    <row r="53" ht="22" customHeight="1">
      <c r="C53" s="20" t="inlineStr">
        <is>
          <t>D8-Q2</t>
        </is>
      </c>
      <c r="D53" s="21" t="inlineStr">
        <is>
          <t>How is AI used in platform operations?</t>
        </is>
      </c>
      <c r="E53" s="11" t="inlineStr"/>
      <c r="F53" s="12">
        <f>IF(E53="A",0,IF(E53="B",1,IF(E53="C",2,IF(E53="D",3,IF(E53="E",5,IF(E53="F",6,""))))))</f>
        <v/>
      </c>
      <c r="G53" s="13" t="n">
        <v>4</v>
      </c>
      <c r="H53" s="14">
        <f>IF(F53="","",G53-F53)</f>
        <v/>
      </c>
      <c r="I53" s="15" t="inlineStr"/>
    </row>
    <row r="54" ht="22" customHeight="1">
      <c r="C54" s="20" t="inlineStr">
        <is>
          <t>D8-Q3</t>
        </is>
      </c>
      <c r="D54" s="21" t="inlineStr">
        <is>
          <t>How are AI-generated artefacts governed?</t>
        </is>
      </c>
      <c r="E54" s="11" t="inlineStr"/>
      <c r="F54" s="12">
        <f>IF(E54="A",0,IF(E54="B",1,IF(E54="C",2,IF(E54="D",3,IF(E54="E",5,IF(E54="F",6,""))))))</f>
        <v/>
      </c>
      <c r="G54" s="13" t="n">
        <v>4</v>
      </c>
      <c r="H54" s="14">
        <f>IF(F54="","",G54-F54)</f>
        <v/>
      </c>
      <c r="I54" s="15" t="inlineStr"/>
    </row>
    <row r="55" ht="22" customHeight="1">
      <c r="C55" s="20" t="inlineStr">
        <is>
          <t>D8-Q4</t>
        </is>
      </c>
      <c r="D55" s="21" t="inlineStr">
        <is>
          <t>How are AI agents integrated?</t>
        </is>
      </c>
      <c r="E55" s="11" t="inlineStr"/>
      <c r="F55" s="12">
        <f>IF(E55="A",0,IF(E55="B",1,IF(E55="C",2,IF(E55="D",3,IF(E55="E",5,IF(E55="F",6,""))))))</f>
        <v/>
      </c>
      <c r="G55" s="13" t="n">
        <v>4</v>
      </c>
      <c r="H55" s="14">
        <f>IF(F55="","",G55-F55)</f>
        <v/>
      </c>
      <c r="I55" s="15" t="inlineStr"/>
    </row>
    <row r="56" ht="22" customHeight="1">
      <c r="C56" s="20" t="inlineStr">
        <is>
          <t>D8-Q5</t>
        </is>
      </c>
      <c r="D56" s="21" t="inlineStr">
        <is>
          <t>How is AI impact on productivity measured?</t>
        </is>
      </c>
      <c r="E56" s="11" t="inlineStr"/>
      <c r="F56" s="12">
        <f>IF(E56="A",0,IF(E56="B",1,IF(E56="C",2,IF(E56="D",3,IF(E56="E",5,IF(E56="F",6,""))))))</f>
        <v/>
      </c>
      <c r="G56" s="13" t="n">
        <v>4</v>
      </c>
      <c r="H56" s="14">
        <f>IF(F56="","",G56-F56)</f>
        <v/>
      </c>
      <c r="I56" s="15" t="inlineStr"/>
    </row>
    <row r="57" ht="24" customHeight="1">
      <c r="B57" s="16" t="inlineStr">
        <is>
          <t>D8 — AI &amp; Automation — Domain Average</t>
        </is>
      </c>
      <c r="E57" s="17" t="inlineStr"/>
      <c r="F57" s="18">
        <f>IFERROR(AVERAGE(F52:F56),"")</f>
        <v/>
      </c>
      <c r="G57" s="17" t="inlineStr"/>
      <c r="H57" s="17" t="inlineStr"/>
      <c r="I57" s="17" t="inlineStr"/>
    </row>
  </sheetData>
  <mergeCells count="17">
    <mergeCell ref="B10:B14"/>
    <mergeCell ref="B36:D36"/>
    <mergeCell ref="B29:D29"/>
    <mergeCell ref="B52:B56"/>
    <mergeCell ref="B1:H1"/>
    <mergeCell ref="B17:B21"/>
    <mergeCell ref="B22:D22"/>
    <mergeCell ref="B8:D8"/>
    <mergeCell ref="B24:B28"/>
    <mergeCell ref="B38:B42"/>
    <mergeCell ref="B45:B49"/>
    <mergeCell ref="B50:D50"/>
    <mergeCell ref="B57:D57"/>
    <mergeCell ref="B3:B7"/>
    <mergeCell ref="B43:D43"/>
    <mergeCell ref="B15:D15"/>
    <mergeCell ref="B31:B35"/>
  </mergeCells>
  <dataValidations count="40">
    <dataValidation sqref="E3" showDropDown="0" showInputMessage="0" showErrorMessage="0" allowBlank="1" type="list">
      <formula1>"A,B,C,D,E,F"</formula1>
    </dataValidation>
    <dataValidation sqref="E4" showDropDown="0" showInputMessage="0" showErrorMessage="0" allowBlank="1" type="list">
      <formula1>"A,B,C,D,E,F"</formula1>
    </dataValidation>
    <dataValidation sqref="E5" showDropDown="0" showInputMessage="0" showErrorMessage="0" allowBlank="1" type="list">
      <formula1>"A,B,C,D,E,F"</formula1>
    </dataValidation>
    <dataValidation sqref="E6" showDropDown="0" showInputMessage="0" showErrorMessage="0" allowBlank="1" type="list">
      <formula1>"A,B,C,D,E,F"</formula1>
    </dataValidation>
    <dataValidation sqref="E7" showDropDown="0" showInputMessage="0" showErrorMessage="0" allowBlank="1" type="list">
      <formula1>"A,B,C,D,E,F"</formula1>
    </dataValidation>
    <dataValidation sqref="E10" showDropDown="0" showInputMessage="0" showErrorMessage="0" allowBlank="1" type="list">
      <formula1>"A,B,C,D,E,F"</formula1>
    </dataValidation>
    <dataValidation sqref="E11" showDropDown="0" showInputMessage="0" showErrorMessage="0" allowBlank="1" type="list">
      <formula1>"A,B,C,D,E,F"</formula1>
    </dataValidation>
    <dataValidation sqref="E12" showDropDown="0" showInputMessage="0" showErrorMessage="0" allowBlank="1" type="list">
      <formula1>"A,B,C,D,E,F"</formula1>
    </dataValidation>
    <dataValidation sqref="E13" showDropDown="0" showInputMessage="0" showErrorMessage="0" allowBlank="1" type="list">
      <formula1>"A,B,C,D,E,F"</formula1>
    </dataValidation>
    <dataValidation sqref="E14" showDropDown="0" showInputMessage="0" showErrorMessage="0" allowBlank="1" type="list">
      <formula1>"A,B,C,D,E,F"</formula1>
    </dataValidation>
    <dataValidation sqref="E17" showDropDown="0" showInputMessage="0" showErrorMessage="0" allowBlank="1" type="list">
      <formula1>"A,B,C,D,E,F"</formula1>
    </dataValidation>
    <dataValidation sqref="E18" showDropDown="0" showInputMessage="0" showErrorMessage="0" allowBlank="1" type="list">
      <formula1>"A,B,C,D,E,F"</formula1>
    </dataValidation>
    <dataValidation sqref="E19" showDropDown="0" showInputMessage="0" showErrorMessage="0" allowBlank="1" type="list">
      <formula1>"A,B,C,D,E,F"</formula1>
    </dataValidation>
    <dataValidation sqref="E20" showDropDown="0" showInputMessage="0" showErrorMessage="0" allowBlank="1" type="list">
      <formula1>"A,B,C,D,E,F"</formula1>
    </dataValidation>
    <dataValidation sqref="E21" showDropDown="0" showInputMessage="0" showErrorMessage="0" allowBlank="1" type="list">
      <formula1>"A,B,C,D,E,F"</formula1>
    </dataValidation>
    <dataValidation sqref="E24" showDropDown="0" showInputMessage="0" showErrorMessage="0" allowBlank="1" type="list">
      <formula1>"A,B,C,D,E,F"</formula1>
    </dataValidation>
    <dataValidation sqref="E25" showDropDown="0" showInputMessage="0" showErrorMessage="0" allowBlank="1" type="list">
      <formula1>"A,B,C,D,E,F"</formula1>
    </dataValidation>
    <dataValidation sqref="E26" showDropDown="0" showInputMessage="0" showErrorMessage="0" allowBlank="1" type="list">
      <formula1>"A,B,C,D,E,F"</formula1>
    </dataValidation>
    <dataValidation sqref="E27" showDropDown="0" showInputMessage="0" showErrorMessage="0" allowBlank="1" type="list">
      <formula1>"A,B,C,D,E,F"</formula1>
    </dataValidation>
    <dataValidation sqref="E28" showDropDown="0" showInputMessage="0" showErrorMessage="0" allowBlank="1" type="list">
      <formula1>"A,B,C,D,E,F"</formula1>
    </dataValidation>
    <dataValidation sqref="E31" showDropDown="0" showInputMessage="0" showErrorMessage="0" allowBlank="1" type="list">
      <formula1>"A,B,C,D,E,F"</formula1>
    </dataValidation>
    <dataValidation sqref="E32" showDropDown="0" showInputMessage="0" showErrorMessage="0" allowBlank="1" type="list">
      <formula1>"A,B,C,D,E,F"</formula1>
    </dataValidation>
    <dataValidation sqref="E33" showDropDown="0" showInputMessage="0" showErrorMessage="0" allowBlank="1" type="list">
      <formula1>"A,B,C,D,E,F"</formula1>
    </dataValidation>
    <dataValidation sqref="E34" showDropDown="0" showInputMessage="0" showErrorMessage="0" allowBlank="1" type="list">
      <formula1>"A,B,C,D,E,F"</formula1>
    </dataValidation>
    <dataValidation sqref="E35" showDropDown="0" showInputMessage="0" showErrorMessage="0" allowBlank="1" type="list">
      <formula1>"A,B,C,D,E,F"</formula1>
    </dataValidation>
    <dataValidation sqref="E38" showDropDown="0" showInputMessage="0" showErrorMessage="0" allowBlank="1" type="list">
      <formula1>"A,B,C,D,E,F"</formula1>
    </dataValidation>
    <dataValidation sqref="E39" showDropDown="0" showInputMessage="0" showErrorMessage="0" allowBlank="1" type="list">
      <formula1>"A,B,C,D,E,F"</formula1>
    </dataValidation>
    <dataValidation sqref="E40" showDropDown="0" showInputMessage="0" showErrorMessage="0" allowBlank="1" type="list">
      <formula1>"A,B,C,D,E,F"</formula1>
    </dataValidation>
    <dataValidation sqref="E41" showDropDown="0" showInputMessage="0" showErrorMessage="0" allowBlank="1" type="list">
      <formula1>"A,B,C,D,E,F"</formula1>
    </dataValidation>
    <dataValidation sqref="E42" showDropDown="0" showInputMessage="0" showErrorMessage="0" allowBlank="1" type="list">
      <formula1>"A,B,C,D,E,F"</formula1>
    </dataValidation>
    <dataValidation sqref="E45" showDropDown="0" showInputMessage="0" showErrorMessage="0" allowBlank="1" type="list">
      <formula1>"A,B,C,D,E,F"</formula1>
    </dataValidation>
    <dataValidation sqref="E46" showDropDown="0" showInputMessage="0" showErrorMessage="0" allowBlank="1" type="list">
      <formula1>"A,B,C,D,E,F"</formula1>
    </dataValidation>
    <dataValidation sqref="E47" showDropDown="0" showInputMessage="0" showErrorMessage="0" allowBlank="1" type="list">
      <formula1>"A,B,C,D,E,F"</formula1>
    </dataValidation>
    <dataValidation sqref="E48" showDropDown="0" showInputMessage="0" showErrorMessage="0" allowBlank="1" type="list">
      <formula1>"A,B,C,D,E,F"</formula1>
    </dataValidation>
    <dataValidation sqref="E49" showDropDown="0" showInputMessage="0" showErrorMessage="0" allowBlank="1" type="list">
      <formula1>"A,B,C,D,E,F"</formula1>
    </dataValidation>
    <dataValidation sqref="E52" showDropDown="0" showInputMessage="0" showErrorMessage="0" allowBlank="1" type="list">
      <formula1>"A,B,C,D,E,F"</formula1>
    </dataValidation>
    <dataValidation sqref="E53" showDropDown="0" showInputMessage="0" showErrorMessage="0" allowBlank="1" type="list">
      <formula1>"A,B,C,D,E,F"</formula1>
    </dataValidation>
    <dataValidation sqref="E54" showDropDown="0" showInputMessage="0" showErrorMessage="0" allowBlank="1" type="list">
      <formula1>"A,B,C,D,E,F"</formula1>
    </dataValidation>
    <dataValidation sqref="E55" showDropDown="0" showInputMessage="0" showErrorMessage="0" allowBlank="1" type="list">
      <formula1>"A,B,C,D,E,F"</formula1>
    </dataValidation>
    <dataValidation sqref="E56" showDropDown="0" showInputMessage="0" showErrorMessage="0" allowBlank="1" type="list">
      <formula1>"A,B,C,D,E,F"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 ht="40" customHeight="1">
      <c r="B1" s="22" t="inlineStr">
        <is>
          <t>Platform Engineering Maturity — Summary Dashboard</t>
        </is>
      </c>
    </row>
    <row r="2" ht="20" customHeight="1">
      <c r="B2" s="23" t="inlineStr">
        <is>
          <t>Organisation:                                          Assessment Date:                          Assessed By:</t>
        </is>
      </c>
    </row>
    <row r="3" ht="8" customHeight="1"/>
    <row r="4" ht="26" customHeight="1">
      <c r="B4" s="24" t="inlineStr">
        <is>
          <t>DOMAIN MATURITY SCORES</t>
        </is>
      </c>
    </row>
    <row r="5" ht="30" customHeight="1">
      <c r="B5" s="19" t="inlineStr">
        <is>
          <t>Domain</t>
        </is>
      </c>
      <c r="C5" s="19" t="inlineStr">
        <is>
          <t>Weight</t>
        </is>
      </c>
      <c r="D5" s="19" t="inlineStr">
        <is>
          <t>Current Level
(0–6)</t>
        </is>
      </c>
      <c r="E5" s="19" t="inlineStr">
        <is>
          <t>Target Level</t>
        </is>
      </c>
      <c r="F5" s="19" t="inlineStr">
        <is>
          <t>Gap</t>
        </is>
      </c>
      <c r="G5" s="19" t="inlineStr">
        <is>
          <t>Status</t>
        </is>
      </c>
    </row>
    <row r="6" ht="22" customHeight="1">
      <c r="B6" s="25" t="inlineStr">
        <is>
          <t>D1 — Infrastructure &amp; Provisioning</t>
        </is>
      </c>
      <c r="C6" s="26" t="n">
        <v>0.15</v>
      </c>
      <c r="D6" s="27">
        <f>'Domain Scores'!F8</f>
        <v/>
      </c>
      <c r="E6" s="13" t="n">
        <v>4</v>
      </c>
      <c r="F6" s="28">
        <f>IFERROR(E6-D6,"")</f>
        <v/>
      </c>
      <c r="G6" s="29">
        <f>IFERROR(IF(F6&lt;=0,"✓ On Target",IF(F6&lt;=1,"▲ Near Target","✗ Gap — Action Required")),"—")</f>
        <v/>
      </c>
    </row>
    <row r="7" ht="22" customHeight="1">
      <c r="B7" s="30" t="inlineStr">
        <is>
          <t>D2 — Delivery &amp; Deployment</t>
        </is>
      </c>
      <c r="C7" s="31" t="n">
        <v>0.15</v>
      </c>
      <c r="D7" s="32">
        <f>'Domain Scores'!F15</f>
        <v/>
      </c>
      <c r="E7" s="13" t="n">
        <v>4</v>
      </c>
      <c r="F7" s="28">
        <f>IFERROR(E7-D7,"")</f>
        <v/>
      </c>
      <c r="G7" s="33">
        <f>IFERROR(IF(F7&lt;=0,"✓ On Target",IF(F7&lt;=1,"▲ Near Target","✗ Gap — Action Required")),"—")</f>
        <v/>
      </c>
    </row>
    <row r="8" ht="22" customHeight="1">
      <c r="B8" s="25" t="inlineStr">
        <is>
          <t>D3 — Developer Experience</t>
        </is>
      </c>
      <c r="C8" s="26" t="n">
        <v>0.2</v>
      </c>
      <c r="D8" s="27">
        <f>'Domain Scores'!F22</f>
        <v/>
      </c>
      <c r="E8" s="13" t="n">
        <v>4</v>
      </c>
      <c r="F8" s="28">
        <f>IFERROR(E8-D8,"")</f>
        <v/>
      </c>
      <c r="G8" s="29">
        <f>IFERROR(IF(F8&lt;=0,"✓ On Target",IF(F8&lt;=1,"▲ Near Target","✗ Gap — Action Required")),"—")</f>
        <v/>
      </c>
    </row>
    <row r="9" ht="22" customHeight="1">
      <c r="B9" s="30" t="inlineStr">
        <is>
          <t>D4 — Observability</t>
        </is>
      </c>
      <c r="C9" s="31" t="n">
        <v>0.12</v>
      </c>
      <c r="D9" s="32">
        <f>'Domain Scores'!F29</f>
        <v/>
      </c>
      <c r="E9" s="13" t="n">
        <v>4</v>
      </c>
      <c r="F9" s="28">
        <f>IFERROR(E9-D9,"")</f>
        <v/>
      </c>
      <c r="G9" s="33">
        <f>IFERROR(IF(F9&lt;=0,"✓ On Target",IF(F9&lt;=1,"▲ Near Target","✗ Gap — Action Required")),"—")</f>
        <v/>
      </c>
    </row>
    <row r="10" ht="22" customHeight="1">
      <c r="B10" s="25" t="inlineStr">
        <is>
          <t>D5 — Security &amp; Compliance</t>
        </is>
      </c>
      <c r="C10" s="26" t="n">
        <v>0.12</v>
      </c>
      <c r="D10" s="27">
        <f>'Domain Scores'!F36</f>
        <v/>
      </c>
      <c r="E10" s="13" t="n">
        <v>4</v>
      </c>
      <c r="F10" s="28">
        <f>IFERROR(E10-D10,"")</f>
        <v/>
      </c>
      <c r="G10" s="29">
        <f>IFERROR(IF(F10&lt;=0,"✓ On Target",IF(F10&lt;=1,"▲ Near Target","✗ Gap — Action Required")),"—")</f>
        <v/>
      </c>
    </row>
    <row r="11" ht="22" customHeight="1">
      <c r="B11" s="30" t="inlineStr">
        <is>
          <t>D6 — FinOps &amp; Cost Management</t>
        </is>
      </c>
      <c r="C11" s="31" t="n">
        <v>0.08</v>
      </c>
      <c r="D11" s="32">
        <f>'Domain Scores'!F43</f>
        <v/>
      </c>
      <c r="E11" s="13" t="n">
        <v>4</v>
      </c>
      <c r="F11" s="28">
        <f>IFERROR(E11-D11,"")</f>
        <v/>
      </c>
      <c r="G11" s="33">
        <f>IFERROR(IF(F11&lt;=0,"✓ On Target",IF(F11&lt;=1,"▲ Near Target","✗ Gap — Action Required")),"—")</f>
        <v/>
      </c>
    </row>
    <row r="12" ht="22" customHeight="1">
      <c r="B12" s="25" t="inlineStr">
        <is>
          <t>D7 — Organisational Model</t>
        </is>
      </c>
      <c r="C12" s="26" t="n">
        <v>0.13</v>
      </c>
      <c r="D12" s="27">
        <f>'Domain Scores'!F50</f>
        <v/>
      </c>
      <c r="E12" s="13" t="n">
        <v>4</v>
      </c>
      <c r="F12" s="28">
        <f>IFERROR(E12-D12,"")</f>
        <v/>
      </c>
      <c r="G12" s="29">
        <f>IFERROR(IF(F12&lt;=0,"✓ On Target",IF(F12&lt;=1,"▲ Near Target","✗ Gap — Action Required")),"—")</f>
        <v/>
      </c>
    </row>
    <row r="13" ht="22" customHeight="1">
      <c r="B13" s="30" t="inlineStr">
        <is>
          <t>D8 — AI &amp; Automation</t>
        </is>
      </c>
      <c r="C13" s="31" t="n">
        <v>0.05</v>
      </c>
      <c r="D13" s="32">
        <f>'Domain Scores'!F57</f>
        <v/>
      </c>
      <c r="E13" s="13" t="n">
        <v>4</v>
      </c>
      <c r="F13" s="28">
        <f>IFERROR(E13-D13,"")</f>
        <v/>
      </c>
      <c r="G13" s="33">
        <f>IFERROR(IF(F13&lt;=0,"✓ On Target",IF(F13&lt;=1,"▲ Near Target","✗ Gap — Action Required")),"—")</f>
        <v/>
      </c>
    </row>
    <row r="14" ht="8" customHeight="1"/>
    <row r="15" ht="30" customHeight="1">
      <c r="B15" s="34" t="inlineStr">
        <is>
          <t>COMPOSITE MATURITY SCORE (Weighted)</t>
        </is>
      </c>
      <c r="C15" s="35" t="n"/>
      <c r="D15" s="36">
        <f>IFERROR(D6*0.15+D7*0.15+D8*0.2+D9*0.12+D10*0.12+D11*0.08+D12*0.13+D13*0.05,"")</f>
        <v/>
      </c>
      <c r="E15" s="35" t="n"/>
      <c r="F15" s="35" t="n"/>
      <c r="G15" s="35" t="n"/>
    </row>
    <row r="17" ht="30" customHeight="1">
      <c r="B17" s="37" t="inlineStr">
        <is>
          <t>OVERALL MATURITY LEVEL</t>
        </is>
      </c>
      <c r="D17" s="38">
        <f>IFERROR(IF(D15&lt;0.5,"Level 0 — Fragmented Infrastructure",IF(D15&lt;1.5,"Level 1 — Standardised Tooling",IF(D15&lt;2.5,"Level 2 — CI/CD Automation",IF(D15&lt;3.5,"Level 3 — Platform Foundations",IF(D15&lt;4.5,"Level 4 — Self-Service Platform",IF(D15&lt;5.5,"Level 5 — Platform as Product","Level 6 — Autonomous Platform")))))),"")</f>
        <v/>
      </c>
    </row>
    <row r="19" ht="22" customHeight="1">
      <c r="B19" s="39" t="inlineStr">
        <is>
          <t>MATURITY LEVEL REFERENCE</t>
        </is>
      </c>
    </row>
    <row r="20" ht="20" customHeight="1">
      <c r="B20" s="40" t="inlineStr">
        <is>
          <t>Level 0</t>
        </is>
      </c>
      <c r="C20" s="41" t="inlineStr">
        <is>
          <t>Fragmented Infrastructure</t>
        </is>
      </c>
      <c r="D20" s="42" t="inlineStr">
        <is>
          <t>No shared platform. Manual, inconsistent, high risk.</t>
        </is>
      </c>
    </row>
    <row r="21" ht="20" customHeight="1">
      <c r="B21" s="43" t="inlineStr">
        <is>
          <t>Level 1</t>
        </is>
      </c>
      <c r="C21" s="41" t="inlineStr">
        <is>
          <t>Standardised Tooling</t>
        </is>
      </c>
      <c r="D21" s="42" t="inlineStr">
        <is>
          <t>Common tools mandated. Compliance improving. High toil.</t>
        </is>
      </c>
    </row>
    <row r="22" ht="20" customHeight="1">
      <c r="B22" s="44" t="inlineStr">
        <is>
          <t>Level 2</t>
        </is>
      </c>
      <c r="C22" s="41" t="inlineStr">
        <is>
          <t>CI/CD Automation</t>
        </is>
      </c>
      <c r="D22" s="42" t="inlineStr">
        <is>
          <t>Repeatable delivery pipelines. Platform team still on critical path.</t>
        </is>
      </c>
    </row>
    <row r="23" ht="20" customHeight="1">
      <c r="B23" s="45" t="inlineStr">
        <is>
          <t>Level 3</t>
        </is>
      </c>
      <c r="C23" s="41" t="inlineStr">
        <is>
          <t>Platform Foundations</t>
        </is>
      </c>
      <c r="D23" s="42" t="inlineStr">
        <is>
          <t>Core IDP exists. Self-service for golden paths. Portal live.</t>
        </is>
      </c>
    </row>
    <row r="24" ht="20" customHeight="1">
      <c r="B24" s="46" t="inlineStr">
        <is>
          <t>Level 4</t>
        </is>
      </c>
      <c r="C24" s="41" t="inlineStr">
        <is>
          <t>Self-Service Platform</t>
        </is>
      </c>
      <c r="D24" s="42" t="inlineStr">
        <is>
          <t>Developers independent for common workflows. Platform team enabling, not doing.</t>
        </is>
      </c>
    </row>
    <row r="25" ht="20" customHeight="1">
      <c r="B25" s="47" t="inlineStr">
        <is>
          <t>Level 5</t>
        </is>
      </c>
      <c r="C25" s="41" t="inlineStr">
        <is>
          <t>Platform as Product</t>
        </is>
      </c>
      <c r="D25" s="42" t="inlineStr">
        <is>
          <t>SLAs, NPS, PM, roadmap. Developer experience as a product discipline.</t>
        </is>
      </c>
    </row>
    <row r="26" ht="20" customHeight="1">
      <c r="B26" s="48" t="inlineStr">
        <is>
          <t>Level 6</t>
        </is>
      </c>
      <c r="C26" s="41" t="inlineStr">
        <is>
          <t>Autonomous Platform</t>
        </is>
      </c>
      <c r="D26" s="42" t="inlineStr">
        <is>
          <t>AI-augmented operations. Platform self-maintains and self-optimises.</t>
        </is>
      </c>
    </row>
  </sheetData>
  <mergeCells count="14">
    <mergeCell ref="D22:G22"/>
    <mergeCell ref="B2:G2"/>
    <mergeCell ref="B19:G19"/>
    <mergeCell ref="D23:G23"/>
    <mergeCell ref="D17:G17"/>
    <mergeCell ref="B15:C15"/>
    <mergeCell ref="D26:G26"/>
    <mergeCell ref="D25:G25"/>
    <mergeCell ref="D20:G20"/>
    <mergeCell ref="B1:G1"/>
    <mergeCell ref="D21:G21"/>
    <mergeCell ref="B4:G4"/>
    <mergeCell ref="D24:G24"/>
    <mergeCell ref="B17:C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1"/>
  <sheetViews>
    <sheetView showGridLines="0" workbookViewId="0">
      <selection activeCell="A1" sqref="A1"/>
    </sheetView>
  </sheetViews>
  <sheetFormatPr baseColWidth="8" defaultRowHeight="15"/>
  <sheetData>
    <row r="1">
      <c r="B1" s="49" t="inlineStr">
        <is>
          <t>Domain</t>
        </is>
      </c>
      <c r="C1" s="49" t="inlineStr">
        <is>
          <t>Current Level</t>
        </is>
      </c>
      <c r="D1" s="49" t="inlineStr">
        <is>
          <t>Target Level</t>
        </is>
      </c>
    </row>
    <row r="2">
      <c r="B2" t="inlineStr">
        <is>
          <t>D1 Infra</t>
        </is>
      </c>
      <c r="C2" s="50">
        <f>'Summary Dashboard'!D6</f>
        <v/>
      </c>
      <c r="D2" s="50">
        <f>'Summary Dashboard'!E6</f>
        <v/>
      </c>
    </row>
    <row r="3">
      <c r="B3" t="inlineStr">
        <is>
          <t>D2 Delivery</t>
        </is>
      </c>
      <c r="C3" s="50">
        <f>'Summary Dashboard'!D7</f>
        <v/>
      </c>
      <c r="D3" s="50">
        <f>'Summary Dashboard'!E7</f>
        <v/>
      </c>
    </row>
    <row r="4">
      <c r="B4" t="inlineStr">
        <is>
          <t>D3 DX</t>
        </is>
      </c>
      <c r="C4" s="50">
        <f>'Summary Dashboard'!D8</f>
        <v/>
      </c>
      <c r="D4" s="50">
        <f>'Summary Dashboard'!E8</f>
        <v/>
      </c>
    </row>
    <row r="5">
      <c r="B5" t="inlineStr">
        <is>
          <t>D4 Observability</t>
        </is>
      </c>
      <c r="C5" s="50">
        <f>'Summary Dashboard'!D9</f>
        <v/>
      </c>
      <c r="D5" s="50">
        <f>'Summary Dashboard'!E9</f>
        <v/>
      </c>
    </row>
    <row r="6">
      <c r="B6" t="inlineStr">
        <is>
          <t>D5 Security</t>
        </is>
      </c>
      <c r="C6" s="50">
        <f>'Summary Dashboard'!D10</f>
        <v/>
      </c>
      <c r="D6" s="50">
        <f>'Summary Dashboard'!E10</f>
        <v/>
      </c>
    </row>
    <row r="7">
      <c r="B7" t="inlineStr">
        <is>
          <t>D6 FinOps</t>
        </is>
      </c>
      <c r="C7" s="50">
        <f>'Summary Dashboard'!D11</f>
        <v/>
      </c>
      <c r="D7" s="50">
        <f>'Summary Dashboard'!E11</f>
        <v/>
      </c>
    </row>
    <row r="8">
      <c r="B8" t="inlineStr">
        <is>
          <t>D7 Org Model</t>
        </is>
      </c>
      <c r="C8" s="50">
        <f>'Summary Dashboard'!D12</f>
        <v/>
      </c>
      <c r="D8" s="50">
        <f>'Summary Dashboard'!E12</f>
        <v/>
      </c>
    </row>
    <row r="9">
      <c r="B9" t="inlineStr">
        <is>
          <t>D8 AI</t>
        </is>
      </c>
      <c r="C9" s="50">
        <f>'Summary Dashboard'!D13</f>
        <v/>
      </c>
      <c r="D9" s="50">
        <f>'Summary Dashboard'!E13</f>
        <v/>
      </c>
    </row>
    <row r="11">
      <c r="B11" s="51" t="inlineStr">
        <is>
          <t>Note: Populate the Domain Scores sheet to see the radar chart update automatically.</t>
        </is>
      </c>
    </row>
  </sheetData>
  <mergeCells count="1">
    <mergeCell ref="B11:E1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 ht="35" customHeight="1">
      <c r="B1" s="6" t="inlineStr">
        <is>
          <t>Platform Maturity — Gap &amp; Priority Analysis</t>
        </is>
      </c>
    </row>
    <row r="2" ht="20" customHeight="1">
      <c r="B2" s="23" t="inlineStr">
        <is>
          <t>Domains sorted by gap size (largest gap first). Focus investment on high-weight, high-gap domains.</t>
        </is>
      </c>
    </row>
    <row r="4" ht="26" customHeight="1">
      <c r="B4" s="7" t="inlineStr">
        <is>
          <t>Domain</t>
        </is>
      </c>
      <c r="C4" s="7" t="inlineStr">
        <is>
          <t>Weight</t>
        </is>
      </c>
      <c r="D4" s="7" t="inlineStr">
        <is>
          <t>Current Level</t>
        </is>
      </c>
      <c r="E4" s="7" t="inlineStr">
        <is>
          <t>Target Level</t>
        </is>
      </c>
      <c r="F4" s="7" t="inlineStr">
        <is>
          <t>Gap Score</t>
        </is>
      </c>
      <c r="G4" s="7" t="inlineStr">
        <is>
          <t>Priority Recommendation</t>
        </is>
      </c>
    </row>
    <row r="5" ht="22" customHeight="1">
      <c r="B5" s="25" t="inlineStr">
        <is>
          <t>D1 — Infrastructure &amp; Provisioning</t>
        </is>
      </c>
      <c r="C5" s="26">
        <f>'Summary Dashboard'!C6</f>
        <v/>
      </c>
      <c r="D5" s="52">
        <f>'Summary Dashboard'!D6</f>
        <v/>
      </c>
      <c r="E5" s="53">
        <f>'Summary Dashboard'!E6</f>
        <v/>
      </c>
      <c r="F5" s="54">
        <f>'Summary Dashboard'!F6</f>
        <v/>
      </c>
      <c r="G5" s="55">
        <f>IF(F5="","—",IF(F5&gt;=2,"🔴 Critical — address this quarter",IF(F5&gt;=1,"🟡 High — address this half-year",IF(F5&gt;0,"🟢 Low — address within 12 months","✓ On or ahead of target"))))</f>
        <v/>
      </c>
    </row>
    <row r="6" ht="22" customHeight="1">
      <c r="B6" s="30" t="inlineStr">
        <is>
          <t>D2 — Delivery &amp; Deployment</t>
        </is>
      </c>
      <c r="C6" s="31">
        <f>'Summary Dashboard'!C7</f>
        <v/>
      </c>
      <c r="D6" s="56">
        <f>'Summary Dashboard'!D7</f>
        <v/>
      </c>
      <c r="E6" s="57">
        <f>'Summary Dashboard'!E7</f>
        <v/>
      </c>
      <c r="F6" s="54">
        <f>'Summary Dashboard'!F7</f>
        <v/>
      </c>
      <c r="G6" s="58">
        <f>IF(F6="","—",IF(F6&gt;=2,"🔴 Critical — address this quarter",IF(F6&gt;=1,"🟡 High — address this half-year",IF(F6&gt;0,"🟢 Low — address within 12 months","✓ On or ahead of target"))))</f>
        <v/>
      </c>
    </row>
    <row r="7" ht="22" customHeight="1">
      <c r="B7" s="25" t="inlineStr">
        <is>
          <t>D3 — Developer Experience</t>
        </is>
      </c>
      <c r="C7" s="26">
        <f>'Summary Dashboard'!C8</f>
        <v/>
      </c>
      <c r="D7" s="52">
        <f>'Summary Dashboard'!D8</f>
        <v/>
      </c>
      <c r="E7" s="53">
        <f>'Summary Dashboard'!E8</f>
        <v/>
      </c>
      <c r="F7" s="54">
        <f>'Summary Dashboard'!F8</f>
        <v/>
      </c>
      <c r="G7" s="55">
        <f>IF(F7="","—",IF(F7&gt;=2,"🔴 Critical — address this quarter",IF(F7&gt;=1,"🟡 High — address this half-year",IF(F7&gt;0,"🟢 Low — address within 12 months","✓ On or ahead of target"))))</f>
        <v/>
      </c>
    </row>
    <row r="8" ht="22" customHeight="1">
      <c r="B8" s="30" t="inlineStr">
        <is>
          <t>D4 — Observability</t>
        </is>
      </c>
      <c r="C8" s="31">
        <f>'Summary Dashboard'!C9</f>
        <v/>
      </c>
      <c r="D8" s="56">
        <f>'Summary Dashboard'!D9</f>
        <v/>
      </c>
      <c r="E8" s="57">
        <f>'Summary Dashboard'!E9</f>
        <v/>
      </c>
      <c r="F8" s="54">
        <f>'Summary Dashboard'!F9</f>
        <v/>
      </c>
      <c r="G8" s="58">
        <f>IF(F8="","—",IF(F8&gt;=2,"🔴 Critical — address this quarter",IF(F8&gt;=1,"🟡 High — address this half-year",IF(F8&gt;0,"🟢 Low — address within 12 months","✓ On or ahead of target"))))</f>
        <v/>
      </c>
    </row>
    <row r="9" ht="22" customHeight="1">
      <c r="B9" s="25" t="inlineStr">
        <is>
          <t>D5 — Security &amp; Compliance</t>
        </is>
      </c>
      <c r="C9" s="26">
        <f>'Summary Dashboard'!C10</f>
        <v/>
      </c>
      <c r="D9" s="52">
        <f>'Summary Dashboard'!D10</f>
        <v/>
      </c>
      <c r="E9" s="53">
        <f>'Summary Dashboard'!E10</f>
        <v/>
      </c>
      <c r="F9" s="54">
        <f>'Summary Dashboard'!F10</f>
        <v/>
      </c>
      <c r="G9" s="55">
        <f>IF(F9="","—",IF(F9&gt;=2,"🔴 Critical — address this quarter",IF(F9&gt;=1,"🟡 High — address this half-year",IF(F9&gt;0,"🟢 Low — address within 12 months","✓ On or ahead of target"))))</f>
        <v/>
      </c>
    </row>
    <row r="10" ht="22" customHeight="1">
      <c r="B10" s="30" t="inlineStr">
        <is>
          <t>D6 — FinOps &amp; Cost Management</t>
        </is>
      </c>
      <c r="C10" s="31">
        <f>'Summary Dashboard'!C11</f>
        <v/>
      </c>
      <c r="D10" s="56">
        <f>'Summary Dashboard'!D11</f>
        <v/>
      </c>
      <c r="E10" s="57">
        <f>'Summary Dashboard'!E11</f>
        <v/>
      </c>
      <c r="F10" s="54">
        <f>'Summary Dashboard'!F11</f>
        <v/>
      </c>
      <c r="G10" s="58">
        <f>IF(F10="","—",IF(F10&gt;=2,"🔴 Critical — address this quarter",IF(F10&gt;=1,"🟡 High — address this half-year",IF(F10&gt;0,"🟢 Low — address within 12 months","✓ On or ahead of target"))))</f>
        <v/>
      </c>
    </row>
    <row r="11" ht="22" customHeight="1">
      <c r="B11" s="25" t="inlineStr">
        <is>
          <t>D7 — Organisational Model</t>
        </is>
      </c>
      <c r="C11" s="26">
        <f>'Summary Dashboard'!C12</f>
        <v/>
      </c>
      <c r="D11" s="52">
        <f>'Summary Dashboard'!D12</f>
        <v/>
      </c>
      <c r="E11" s="53">
        <f>'Summary Dashboard'!E12</f>
        <v/>
      </c>
      <c r="F11" s="54">
        <f>'Summary Dashboard'!F12</f>
        <v/>
      </c>
      <c r="G11" s="55">
        <f>IF(F11="","—",IF(F11&gt;=2,"🔴 Critical — address this quarter",IF(F11&gt;=1,"🟡 High — address this half-year",IF(F11&gt;0,"🟢 Low — address within 12 months","✓ On or ahead of target"))))</f>
        <v/>
      </c>
    </row>
    <row r="12" ht="22" customHeight="1">
      <c r="B12" s="30" t="inlineStr">
        <is>
          <t>D8 — AI &amp; Automation</t>
        </is>
      </c>
      <c r="C12" s="31">
        <f>'Summary Dashboard'!C13</f>
        <v/>
      </c>
      <c r="D12" s="56">
        <f>'Summary Dashboard'!D13</f>
        <v/>
      </c>
      <c r="E12" s="57">
        <f>'Summary Dashboard'!E13</f>
        <v/>
      </c>
      <c r="F12" s="54">
        <f>'Summary Dashboard'!F13</f>
        <v/>
      </c>
      <c r="G12" s="58">
        <f>IF(F12="","—",IF(F12&gt;=2,"🔴 Critical — address this quarter",IF(F12&gt;=1,"🟡 High — address this half-year",IF(F12&gt;0,"🟢 Low — address within 12 months","✓ On or ahead of target"))))</f>
        <v/>
      </c>
    </row>
    <row r="14" ht="24" customHeight="1">
      <c r="B14" s="59" t="inlineStr">
        <is>
          <t>CEILING CONSTRAINT ANALYSIS</t>
        </is>
      </c>
    </row>
    <row r="15" ht="22" customHeight="1">
      <c r="B15" s="60" t="inlineStr">
        <is>
          <t xml:space="preserve">  ▸  Domains scoring below Level 2 create ceiling effects across the entire platform — fix these first regardless of weight.</t>
        </is>
      </c>
    </row>
    <row r="16" ht="22" customHeight="1">
      <c r="B16" s="60" t="inlineStr">
        <is>
          <t xml:space="preserve">  ▸  D3 (Developer Experience) gaps are amplified: low DX adoption undermines investment in all other domains.</t>
        </is>
      </c>
    </row>
    <row r="17" ht="22" customHeight="1">
      <c r="B17" s="60" t="inlineStr">
        <is>
          <t xml:space="preserve">  ▸  D7 (Organisational Model) gaps above Level 3 prevent sustainable progress — technical capability without product thinking stalls.</t>
        </is>
      </c>
    </row>
    <row r="18" ht="22" customHeight="1">
      <c r="B18" s="60" t="inlineStr">
        <is>
          <t xml:space="preserve">  ▸  D8 (AI &amp; Automation) gaps are lower priority at Level 0-3; prioritise once core platform foundations are stable.</t>
        </is>
      </c>
    </row>
  </sheetData>
  <mergeCells count="7">
    <mergeCell ref="B2:F2"/>
    <mergeCell ref="B16:F16"/>
    <mergeCell ref="B15:F15"/>
    <mergeCell ref="B1:F1"/>
    <mergeCell ref="B14:F14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2026-04-06T10:51:19Z</dcterms:created>
  <dcterms:modified xmlns:dcterms="http://purl.org/dc/terms/" xmlns:xsi="http://www.w3.org/2001/XMLSchema-instance" xsi:type="dcterms:W3CDTF">2026-04-06T10:51:19Z</dcterms:modified>
</cp:coreProperties>
</file>